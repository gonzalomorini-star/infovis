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309060\Desktop\"/>
    </mc:Choice>
  </mc:AlternateContent>
  <xr:revisionPtr revIDLastSave="0" documentId="13_ncr:1_{9C4287AA-B003-4186-ABBF-84B7AE27E82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Registro Diario" sheetId="1" r:id="rId1"/>
    <sheet name="Gastos Auto" sheetId="2" r:id="rId2"/>
    <sheet name="Auto vs Colectiv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E7" i="3"/>
  <c r="D7" i="3"/>
  <c r="C7" i="3"/>
  <c r="D34" i="1"/>
  <c r="D28" i="1"/>
  <c r="D21" i="1"/>
  <c r="D20" i="1"/>
  <c r="D19" i="1"/>
  <c r="D18" i="1"/>
  <c r="D17" i="1"/>
  <c r="D8" i="1"/>
  <c r="E6" i="3"/>
  <c r="D6" i="3"/>
  <c r="C6" i="3"/>
  <c r="E5" i="3"/>
  <c r="C5" i="3"/>
</calcChain>
</file>

<file path=xl/sharedStrings.xml><?xml version="1.0" encoding="utf-8"?>
<sst xmlns="http://schemas.openxmlformats.org/spreadsheetml/2006/main" count="104" uniqueCount="46">
  <si>
    <t>MIS VIAJES DIARIOS</t>
  </si>
  <si>
    <t>Registro desde Google Maps &gt; Rutas | Completar navegando dia por dia</t>
  </si>
  <si>
    <t>Fecha</t>
  </si>
  <si>
    <t>Dia semana</t>
  </si>
  <si>
    <t>Km auto</t>
  </si>
  <si>
    <t>Tiempo auto (min)</t>
  </si>
  <si>
    <t>Km a pie</t>
  </si>
  <si>
    <t>Km colectivo</t>
  </si>
  <si>
    <t>Cant. viajes</t>
  </si>
  <si>
    <t>Notas</t>
  </si>
  <si>
    <t>Sabado</t>
  </si>
  <si>
    <t>GASTOS DEL AUTO</t>
  </si>
  <si>
    <t>Cargar nafta, service, cubiertas, seguro, patente, etc.</t>
  </si>
  <si>
    <t>Concepto</t>
  </si>
  <si>
    <t>Monto ($)</t>
  </si>
  <si>
    <t>Nafta</t>
  </si>
  <si>
    <t>tanque lleno</t>
  </si>
  <si>
    <t>Cambio de aceite</t>
  </si>
  <si>
    <t>Cubiertas</t>
  </si>
  <si>
    <t>Seguro (mensual)</t>
  </si>
  <si>
    <t>Patente (mensual)</t>
  </si>
  <si>
    <t>AUTO vs COLECTIVO</t>
  </si>
  <si>
    <t>Comparacion por trayecto habitual: plata y tiempo</t>
  </si>
  <si>
    <t>Trayecto</t>
  </si>
  <si>
    <t>Costo auto ($)</t>
  </si>
  <si>
    <t>Tiempo colectivo (min)</t>
  </si>
  <si>
    <t>Costo colectivo ($)</t>
  </si>
  <si>
    <t>Casa -&gt; Trabajo</t>
  </si>
  <si>
    <t>Miercoles</t>
  </si>
  <si>
    <t>Ida y Vuelta al trabajo</t>
  </si>
  <si>
    <t>Jueves</t>
  </si>
  <si>
    <t>Viernes</t>
  </si>
  <si>
    <t>Casa -&gt; Terapia</t>
  </si>
  <si>
    <t>Lunes</t>
  </si>
  <si>
    <t>Martes</t>
  </si>
  <si>
    <t>Paseo</t>
  </si>
  <si>
    <t xml:space="preserve">Paseo </t>
  </si>
  <si>
    <t>Domingo</t>
  </si>
  <si>
    <t>Miércoles</t>
  </si>
  <si>
    <t>Sábado</t>
  </si>
  <si>
    <t>Ida y Vuelta al trabajo+ Paseo</t>
  </si>
  <si>
    <t>Casa -&gt; Visita a Familia</t>
  </si>
  <si>
    <t>Peaje (mensual)</t>
  </si>
  <si>
    <t>10.000 km (prorrateado por mes-aprox 1400 km)</t>
  </si>
  <si>
    <t>50.000 km (Prorrateado por mes)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</si>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</sst>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b/>
      <sz val="10"/>
      <color rgb="FFFFFFFF"/>
      <name val="Arial"/>
      <family val="2"/>
    </font>
    <font>
      <i/>
      <sz val="10"/>
      <color rgb="FF888888"/>
      <name val="Arial"/>
      <family val="2"/>
    </font>
    <font>
      <i/>
      <sz val="10"/>
      <color rgb="FF88888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C9A227"/>
      </patternFill>
    </fill>
    <fill>
      <patternFill patternType="solid">
        <fgColor rgb="FFF2F3F7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4" borderId="1" xfId="0" applyFill="1" applyBorder="1"/>
    <xf numFmtId="3" fontId="4" fillId="0" borderId="1" xfId="0" applyNumberFormat="1" applyFont="1" applyBorder="1" applyAlignment="1">
      <alignment horizontal="center" vertical="center"/>
    </xf>
    <xf numFmtId="16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/>
    </xf>
    <xf numFmtId="0" fontId="1" fillId="2" borderId="0" xfId="0" applyFont="1" applyFill="1" applyAlignment="1">
      <alignment horizontal="left" vertical="center" indent="1"/>
    </xf>
    <xf numFmtId="0" fontId="0" fillId="2" borderId="0" xfId="0" applyFill="1"/>
    <xf numFmtId="0" fontId="2" fillId="2" borderId="0" xfId="0" applyFont="1" applyFill="1" applyAlignment="1">
      <alignment horizontal="left" vertical="center" indent="1"/>
    </xf>
    <xf numFmtId="44" fontId="0" fillId="0" borderId="0" xfId="0" applyNumberFormat="1" applyAlignment="1">
      <alignment horizontal="center"/>
    </xf>
    <xf numFmtId="0" fontId="4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showGridLines="0" workbookViewId="0">
      <pane ySplit="4" topLeftCell="A23" activePane="bottomLeft" state="frozen"/>
      <selection pane="bottomLeft" activeCell="C5" sqref="C5:C35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10" customWidth="1"/>
    <col min="4" max="4" width="16" customWidth="1"/>
    <col min="5" max="5" width="10" customWidth="1"/>
    <col min="6" max="6" width="13" customWidth="1"/>
    <col min="7" max="7" width="12" customWidth="1"/>
    <col min="8" max="8" width="30" customWidth="1"/>
  </cols>
  <sheetData>
    <row r="1" spans="1:8" ht="26.1" customHeight="1" x14ac:dyDescent="0.25">
      <c r="A1" s="12" t="s">
        <v>0</v>
      </c>
      <c r="B1" s="13"/>
      <c r="C1" s="13"/>
      <c r="D1" s="13"/>
      <c r="E1" s="13"/>
      <c r="F1" s="13"/>
      <c r="G1" s="13"/>
      <c r="H1" s="13"/>
    </row>
    <row r="2" spans="1:8" ht="15.95" customHeight="1" x14ac:dyDescent="0.25">
      <c r="A2" s="14" t="s">
        <v>1</v>
      </c>
      <c r="B2" s="13"/>
      <c r="C2" s="13"/>
      <c r="D2" s="13"/>
      <c r="E2" s="13"/>
      <c r="F2" s="13"/>
      <c r="G2" s="13"/>
      <c r="H2" s="13"/>
    </row>
    <row r="3" spans="1:8" ht="3" customHeight="1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8" x14ac:dyDescent="0.25">
      <c r="A5" s="7">
        <v>46204</v>
      </c>
      <c r="B5" s="8" t="s">
        <v>28</v>
      </c>
      <c r="C5" s="4">
        <v>52</v>
      </c>
      <c r="D5" s="4">
        <v>109</v>
      </c>
      <c r="E5" s="4">
        <v>0</v>
      </c>
      <c r="F5" s="4">
        <v>0</v>
      </c>
      <c r="G5" s="4">
        <v>2</v>
      </c>
      <c r="H5" s="8" t="s">
        <v>29</v>
      </c>
    </row>
    <row r="6" spans="1:8" x14ac:dyDescent="0.25">
      <c r="A6" s="7">
        <v>46205</v>
      </c>
      <c r="B6" s="8" t="s">
        <v>30</v>
      </c>
      <c r="C6" s="4">
        <v>48</v>
      </c>
      <c r="D6" s="4">
        <v>99</v>
      </c>
      <c r="E6" s="4">
        <v>0</v>
      </c>
      <c r="F6" s="4">
        <v>0</v>
      </c>
      <c r="G6" s="4">
        <v>2</v>
      </c>
      <c r="H6" s="8" t="s">
        <v>29</v>
      </c>
    </row>
    <row r="7" spans="1:8" x14ac:dyDescent="0.25">
      <c r="A7" s="7">
        <v>46206</v>
      </c>
      <c r="B7" s="8" t="s">
        <v>31</v>
      </c>
      <c r="C7" s="4">
        <v>48</v>
      </c>
      <c r="D7" s="4">
        <v>46</v>
      </c>
      <c r="E7" s="4">
        <v>0</v>
      </c>
      <c r="F7" s="4">
        <v>0</v>
      </c>
      <c r="G7" s="4">
        <v>2</v>
      </c>
      <c r="H7" s="8" t="s">
        <v>29</v>
      </c>
    </row>
    <row r="8" spans="1:8" x14ac:dyDescent="0.25">
      <c r="A8" s="7">
        <v>46207</v>
      </c>
      <c r="B8" s="8" t="s">
        <v>10</v>
      </c>
      <c r="C8" s="4">
        <v>58</v>
      </c>
      <c r="D8" s="4">
        <f>32+15</f>
        <v>47</v>
      </c>
      <c r="E8" s="4">
        <v>55</v>
      </c>
      <c r="F8" s="4">
        <v>3</v>
      </c>
      <c r="G8" s="4">
        <v>2</v>
      </c>
      <c r="H8" s="8" t="s">
        <v>36</v>
      </c>
    </row>
    <row r="9" spans="1:8" x14ac:dyDescent="0.25">
      <c r="A9" s="7">
        <v>46208</v>
      </c>
      <c r="B9" s="8" t="s">
        <v>37</v>
      </c>
      <c r="C9" s="4">
        <v>4</v>
      </c>
      <c r="D9" s="4">
        <v>21</v>
      </c>
      <c r="E9" s="4">
        <v>0</v>
      </c>
      <c r="F9" s="4">
        <v>0</v>
      </c>
      <c r="G9" s="4">
        <v>3</v>
      </c>
      <c r="H9" s="8" t="s">
        <v>36</v>
      </c>
    </row>
    <row r="10" spans="1:8" x14ac:dyDescent="0.25">
      <c r="A10" s="7">
        <v>46209</v>
      </c>
      <c r="B10" s="8" t="s">
        <v>33</v>
      </c>
      <c r="C10" s="4">
        <v>45</v>
      </c>
      <c r="D10" s="4">
        <v>86</v>
      </c>
      <c r="E10" s="4">
        <v>0</v>
      </c>
      <c r="F10" s="4">
        <v>0</v>
      </c>
      <c r="G10" s="4">
        <v>2</v>
      </c>
      <c r="H10" s="8" t="s">
        <v>29</v>
      </c>
    </row>
    <row r="11" spans="1:8" x14ac:dyDescent="0.25">
      <c r="A11" s="7">
        <v>46210</v>
      </c>
      <c r="B11" s="8" t="s">
        <v>34</v>
      </c>
      <c r="C11" s="4">
        <v>50</v>
      </c>
      <c r="D11" s="4">
        <v>86</v>
      </c>
      <c r="E11" s="4">
        <v>0</v>
      </c>
      <c r="F11" s="4">
        <v>0</v>
      </c>
      <c r="G11" s="4">
        <v>2</v>
      </c>
      <c r="H11" s="8" t="s">
        <v>29</v>
      </c>
    </row>
    <row r="12" spans="1:8" x14ac:dyDescent="0.25">
      <c r="A12" s="7">
        <v>46211</v>
      </c>
      <c r="B12" s="8" t="s">
        <v>28</v>
      </c>
      <c r="C12" s="4">
        <v>30</v>
      </c>
      <c r="D12" s="4">
        <v>131</v>
      </c>
      <c r="E12" s="4">
        <v>0</v>
      </c>
      <c r="F12" s="4">
        <v>0</v>
      </c>
      <c r="G12" s="4">
        <v>2</v>
      </c>
      <c r="H12" s="8" t="s">
        <v>29</v>
      </c>
    </row>
    <row r="13" spans="1:8" x14ac:dyDescent="0.25">
      <c r="A13" s="7">
        <v>46212</v>
      </c>
      <c r="B13" s="8" t="s">
        <v>30</v>
      </c>
      <c r="C13" s="4">
        <v>1</v>
      </c>
      <c r="D13" s="4">
        <v>176</v>
      </c>
      <c r="E13" s="4">
        <v>0</v>
      </c>
      <c r="F13" s="4">
        <v>0</v>
      </c>
      <c r="G13" s="4">
        <v>2</v>
      </c>
      <c r="H13" s="8" t="s">
        <v>35</v>
      </c>
    </row>
    <row r="14" spans="1:8" x14ac:dyDescent="0.25">
      <c r="A14" s="7">
        <v>46213</v>
      </c>
      <c r="B14" s="8" t="s">
        <v>31</v>
      </c>
      <c r="C14" s="4">
        <v>32</v>
      </c>
      <c r="D14" s="4">
        <v>84</v>
      </c>
      <c r="E14" s="4">
        <v>2</v>
      </c>
      <c r="F14" s="4">
        <v>0</v>
      </c>
      <c r="G14" s="4">
        <v>7</v>
      </c>
      <c r="H14" s="8" t="s">
        <v>35</v>
      </c>
    </row>
    <row r="15" spans="1:8" x14ac:dyDescent="0.25">
      <c r="A15" s="7">
        <v>46214</v>
      </c>
      <c r="B15" s="8" t="s">
        <v>10</v>
      </c>
      <c r="C15" s="4">
        <v>50</v>
      </c>
      <c r="D15" s="4">
        <v>67</v>
      </c>
      <c r="E15" s="4">
        <v>0</v>
      </c>
      <c r="F15" s="4">
        <v>0</v>
      </c>
      <c r="G15" s="4">
        <v>3</v>
      </c>
      <c r="H15" s="8" t="s">
        <v>35</v>
      </c>
    </row>
    <row r="16" spans="1:8" x14ac:dyDescent="0.25">
      <c r="A16" s="7">
        <v>46215</v>
      </c>
      <c r="B16" s="8" t="s">
        <v>37</v>
      </c>
      <c r="C16" s="4">
        <v>35</v>
      </c>
      <c r="D16" s="4">
        <v>58</v>
      </c>
      <c r="E16" s="4">
        <v>0</v>
      </c>
      <c r="F16" s="4">
        <v>0</v>
      </c>
      <c r="G16" s="4">
        <v>3</v>
      </c>
      <c r="H16" s="8" t="s">
        <v>35</v>
      </c>
    </row>
    <row r="17" spans="1:8" x14ac:dyDescent="0.25">
      <c r="A17" s="7">
        <v>46216</v>
      </c>
      <c r="B17" s="8" t="s">
        <v>33</v>
      </c>
      <c r="C17" s="4">
        <v>47</v>
      </c>
      <c r="D17" s="4">
        <f>60+23</f>
        <v>83</v>
      </c>
      <c r="E17" s="4">
        <v>0</v>
      </c>
      <c r="F17" s="4">
        <v>0</v>
      </c>
      <c r="G17" s="4">
        <v>3</v>
      </c>
      <c r="H17" s="8" t="s">
        <v>29</v>
      </c>
    </row>
    <row r="18" spans="1:8" x14ac:dyDescent="0.25">
      <c r="A18" s="7">
        <v>46217</v>
      </c>
      <c r="B18" s="8" t="s">
        <v>34</v>
      </c>
      <c r="C18" s="4">
        <v>44</v>
      </c>
      <c r="D18" s="10">
        <f>51+51</f>
        <v>102</v>
      </c>
      <c r="E18" s="4">
        <v>0</v>
      </c>
      <c r="F18" s="4">
        <v>0</v>
      </c>
      <c r="G18" s="4">
        <v>3</v>
      </c>
      <c r="H18" s="8" t="s">
        <v>29</v>
      </c>
    </row>
    <row r="19" spans="1:8" x14ac:dyDescent="0.25">
      <c r="A19" s="7">
        <v>46218</v>
      </c>
      <c r="B19" s="8" t="s">
        <v>38</v>
      </c>
      <c r="C19" s="4">
        <v>106</v>
      </c>
      <c r="D19" s="4">
        <f>180+13</f>
        <v>193</v>
      </c>
      <c r="E19" s="4">
        <v>4</v>
      </c>
      <c r="F19" s="4">
        <v>0</v>
      </c>
      <c r="G19" s="4">
        <v>7</v>
      </c>
      <c r="H19" s="8" t="s">
        <v>40</v>
      </c>
    </row>
    <row r="20" spans="1:8" x14ac:dyDescent="0.25">
      <c r="A20" s="7">
        <v>46219</v>
      </c>
      <c r="B20" s="8" t="s">
        <v>30</v>
      </c>
      <c r="C20" s="4">
        <v>46</v>
      </c>
      <c r="D20" s="4">
        <f>60+44</f>
        <v>104</v>
      </c>
      <c r="E20" s="4">
        <v>0</v>
      </c>
      <c r="F20" s="4">
        <v>0</v>
      </c>
      <c r="G20" s="4">
        <v>3</v>
      </c>
      <c r="H20" s="8" t="s">
        <v>29</v>
      </c>
    </row>
    <row r="21" spans="1:8" x14ac:dyDescent="0.25">
      <c r="A21" s="7">
        <v>46220</v>
      </c>
      <c r="B21" s="8" t="s">
        <v>31</v>
      </c>
      <c r="C21" s="4">
        <v>49</v>
      </c>
      <c r="D21" s="4">
        <f>60+32</f>
        <v>92</v>
      </c>
      <c r="E21" s="4">
        <v>0</v>
      </c>
      <c r="F21" s="4">
        <v>0</v>
      </c>
      <c r="G21" s="4">
        <v>4</v>
      </c>
      <c r="H21" s="8" t="s">
        <v>40</v>
      </c>
    </row>
    <row r="22" spans="1:8" x14ac:dyDescent="0.25">
      <c r="A22" s="7">
        <v>46221</v>
      </c>
      <c r="B22" s="8" t="s">
        <v>39</v>
      </c>
      <c r="C22" s="4">
        <v>31</v>
      </c>
      <c r="D22" s="4">
        <v>84</v>
      </c>
      <c r="E22" s="4">
        <v>4</v>
      </c>
      <c r="F22" s="4">
        <v>0</v>
      </c>
      <c r="G22" s="4">
        <v>4</v>
      </c>
      <c r="H22" s="8" t="s">
        <v>35</v>
      </c>
    </row>
    <row r="23" spans="1:8" x14ac:dyDescent="0.25">
      <c r="A23" s="7">
        <v>46222</v>
      </c>
      <c r="B23" s="8" t="s">
        <v>37</v>
      </c>
      <c r="C23" s="4">
        <v>59</v>
      </c>
      <c r="D23" s="4">
        <v>82</v>
      </c>
      <c r="E23" s="4">
        <v>0</v>
      </c>
      <c r="F23" s="4">
        <v>0</v>
      </c>
      <c r="G23" s="4">
        <v>2</v>
      </c>
      <c r="H23" s="8" t="s">
        <v>35</v>
      </c>
    </row>
    <row r="24" spans="1:8" x14ac:dyDescent="0.25">
      <c r="A24" s="7">
        <v>46223</v>
      </c>
      <c r="B24" s="8" t="s">
        <v>33</v>
      </c>
      <c r="C24" s="4">
        <v>36</v>
      </c>
      <c r="D24" s="4">
        <v>25</v>
      </c>
      <c r="E24" s="4">
        <v>3</v>
      </c>
      <c r="F24" s="4">
        <v>15</v>
      </c>
      <c r="G24" s="4">
        <v>4</v>
      </c>
      <c r="H24" s="8" t="s">
        <v>29</v>
      </c>
    </row>
    <row r="25" spans="1:8" x14ac:dyDescent="0.25">
      <c r="A25" s="7">
        <v>46224</v>
      </c>
      <c r="B25" s="8" t="s">
        <v>34</v>
      </c>
      <c r="C25" s="4">
        <v>47</v>
      </c>
      <c r="D25" s="4">
        <v>104</v>
      </c>
      <c r="E25" s="4">
        <v>0</v>
      </c>
      <c r="F25" s="4">
        <v>0</v>
      </c>
      <c r="G25" s="4">
        <v>2</v>
      </c>
      <c r="H25" s="8" t="s">
        <v>29</v>
      </c>
    </row>
    <row r="26" spans="1:8" x14ac:dyDescent="0.25">
      <c r="A26" s="7">
        <v>46225</v>
      </c>
      <c r="B26" s="8" t="s">
        <v>38</v>
      </c>
      <c r="C26" s="4">
        <v>45</v>
      </c>
      <c r="D26" s="4">
        <v>103</v>
      </c>
      <c r="E26" s="4">
        <v>0</v>
      </c>
      <c r="F26" s="4">
        <v>0</v>
      </c>
      <c r="G26" s="4">
        <v>2</v>
      </c>
      <c r="H26" s="8" t="s">
        <v>29</v>
      </c>
    </row>
    <row r="27" spans="1:8" x14ac:dyDescent="0.25">
      <c r="A27" s="7">
        <v>46226</v>
      </c>
      <c r="B27" s="8" t="s">
        <v>30</v>
      </c>
      <c r="C27" s="4">
        <v>49</v>
      </c>
      <c r="D27" s="4">
        <v>108</v>
      </c>
      <c r="E27" s="4">
        <v>2</v>
      </c>
      <c r="F27" s="4">
        <v>0</v>
      </c>
      <c r="G27" s="4">
        <v>4</v>
      </c>
      <c r="H27" s="8" t="s">
        <v>40</v>
      </c>
    </row>
    <row r="28" spans="1:8" x14ac:dyDescent="0.25">
      <c r="A28" s="7">
        <v>46227</v>
      </c>
      <c r="B28" s="8" t="s">
        <v>31</v>
      </c>
      <c r="C28" s="4">
        <v>77</v>
      </c>
      <c r="D28" s="4">
        <f>60+60+17</f>
        <v>137</v>
      </c>
      <c r="E28" s="4">
        <v>0</v>
      </c>
      <c r="F28" s="4">
        <v>0</v>
      </c>
      <c r="G28" s="4">
        <v>5</v>
      </c>
      <c r="H28" s="8" t="s">
        <v>40</v>
      </c>
    </row>
    <row r="29" spans="1:8" x14ac:dyDescent="0.25">
      <c r="A29" s="7">
        <v>46228</v>
      </c>
      <c r="B29" s="8" t="s">
        <v>39</v>
      </c>
      <c r="C29" s="4">
        <v>0</v>
      </c>
      <c r="D29" s="4">
        <v>0</v>
      </c>
      <c r="E29" s="4">
        <v>4</v>
      </c>
      <c r="F29" s="4">
        <v>26</v>
      </c>
      <c r="G29" s="4">
        <v>2</v>
      </c>
      <c r="H29" s="8" t="s">
        <v>35</v>
      </c>
    </row>
    <row r="30" spans="1:8" x14ac:dyDescent="0.25">
      <c r="A30" s="7">
        <v>46229</v>
      </c>
      <c r="B30" s="8" t="s">
        <v>37</v>
      </c>
      <c r="C30" s="4">
        <v>29</v>
      </c>
      <c r="D30" s="4">
        <v>61</v>
      </c>
      <c r="E30" s="4">
        <v>9</v>
      </c>
      <c r="F30" s="4">
        <v>8</v>
      </c>
      <c r="G30" s="4">
        <v>5</v>
      </c>
      <c r="H30" s="8" t="s">
        <v>35</v>
      </c>
    </row>
    <row r="31" spans="1:8" x14ac:dyDescent="0.25">
      <c r="A31" s="7">
        <v>46230</v>
      </c>
      <c r="B31" s="8" t="s">
        <v>33</v>
      </c>
      <c r="C31" s="4">
        <v>46</v>
      </c>
      <c r="D31" s="4">
        <v>85</v>
      </c>
      <c r="E31" s="4">
        <v>0</v>
      </c>
      <c r="F31" s="4">
        <v>0</v>
      </c>
      <c r="G31" s="4">
        <v>4</v>
      </c>
      <c r="H31" s="8" t="s">
        <v>29</v>
      </c>
    </row>
    <row r="32" spans="1:8" x14ac:dyDescent="0.25">
      <c r="A32" s="7">
        <v>46231</v>
      </c>
      <c r="B32" s="8" t="s">
        <v>34</v>
      </c>
      <c r="C32" s="4">
        <v>47</v>
      </c>
      <c r="D32" s="4">
        <v>82</v>
      </c>
      <c r="E32" s="4">
        <v>0</v>
      </c>
      <c r="F32" s="4">
        <v>0</v>
      </c>
      <c r="G32" s="4">
        <v>4</v>
      </c>
      <c r="H32" s="8" t="s">
        <v>29</v>
      </c>
    </row>
    <row r="33" spans="1:8" x14ac:dyDescent="0.25">
      <c r="A33" s="7">
        <v>46232</v>
      </c>
      <c r="B33" s="8" t="s">
        <v>38</v>
      </c>
      <c r="C33" s="4">
        <v>46</v>
      </c>
      <c r="D33" s="4">
        <v>81</v>
      </c>
      <c r="E33" s="4">
        <v>0</v>
      </c>
      <c r="F33" s="4">
        <v>0</v>
      </c>
      <c r="G33" s="4">
        <v>4</v>
      </c>
      <c r="H33" s="8" t="s">
        <v>29</v>
      </c>
    </row>
    <row r="34" spans="1:8" x14ac:dyDescent="0.25">
      <c r="A34" s="7">
        <v>46233</v>
      </c>
      <c r="B34" s="8" t="s">
        <v>30</v>
      </c>
      <c r="C34" s="4">
        <v>87</v>
      </c>
      <c r="D34" s="4">
        <f>60+60+16</f>
        <v>136</v>
      </c>
      <c r="E34" s="4">
        <v>0</v>
      </c>
      <c r="F34" s="4">
        <v>0</v>
      </c>
      <c r="G34" s="4">
        <v>4</v>
      </c>
      <c r="H34" s="8" t="s">
        <v>40</v>
      </c>
    </row>
    <row r="35" spans="1:8" x14ac:dyDescent="0.25">
      <c r="A35" s="7">
        <v>46234</v>
      </c>
      <c r="B35" s="8" t="s">
        <v>31</v>
      </c>
      <c r="C35" s="4">
        <v>110</v>
      </c>
      <c r="D35" s="4">
        <v>146</v>
      </c>
      <c r="E35" s="4">
        <v>0</v>
      </c>
      <c r="F35" s="4">
        <v>0</v>
      </c>
      <c r="G35" s="4">
        <v>9</v>
      </c>
      <c r="H35" s="8" t="s">
        <v>40</v>
      </c>
    </row>
  </sheetData>
  <mergeCells count="2">
    <mergeCell ref="A2:H2"/>
    <mergeCell ref="A1:H1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pane ySplit="4" topLeftCell="A5" activePane="bottomLeft" state="frozen"/>
      <selection pane="bottomLeft" activeCell="C11" sqref="C11"/>
    </sheetView>
  </sheetViews>
  <sheetFormatPr baseColWidth="10" defaultColWidth="9.140625" defaultRowHeight="15" x14ac:dyDescent="0.25"/>
  <cols>
    <col min="1" max="1" width="13" customWidth="1"/>
    <col min="2" max="2" width="22" customWidth="1"/>
    <col min="3" max="3" width="14" customWidth="1"/>
    <col min="4" max="4" width="42.42578125" bestFit="1" customWidth="1"/>
  </cols>
  <sheetData>
    <row r="1" spans="1:4" ht="26.1" customHeight="1" x14ac:dyDescent="0.25">
      <c r="A1" s="12" t="s">
        <v>11</v>
      </c>
      <c r="B1" s="13"/>
      <c r="C1" s="13"/>
      <c r="D1" s="13"/>
    </row>
    <row r="2" spans="1:4" ht="15.95" customHeight="1" x14ac:dyDescent="0.25">
      <c r="A2" s="14" t="s">
        <v>12</v>
      </c>
      <c r="B2" s="13"/>
      <c r="C2" s="13"/>
      <c r="D2" s="13"/>
    </row>
    <row r="3" spans="1:4" ht="3" customHeight="1" x14ac:dyDescent="0.25">
      <c r="A3" s="1"/>
      <c r="B3" s="1"/>
      <c r="C3" s="1"/>
      <c r="D3" s="1"/>
    </row>
    <row r="4" spans="1:4" x14ac:dyDescent="0.25">
      <c r="A4" s="2" t="s">
        <v>2</v>
      </c>
      <c r="B4" s="2" t="s">
        <v>13</v>
      </c>
      <c r="C4" s="2" t="s">
        <v>14</v>
      </c>
      <c r="D4" s="2" t="s">
        <v>9</v>
      </c>
    </row>
    <row r="5" spans="1:4" x14ac:dyDescent="0.25">
      <c r="A5" s="11">
        <v>46204</v>
      </c>
      <c r="B5" s="3" t="s">
        <v>15</v>
      </c>
      <c r="C5" s="6">
        <v>70000</v>
      </c>
      <c r="D5" s="3" t="s">
        <v>16</v>
      </c>
    </row>
    <row r="6" spans="1:4" x14ac:dyDescent="0.25">
      <c r="A6" s="11">
        <v>46214</v>
      </c>
      <c r="B6" s="3" t="s">
        <v>15</v>
      </c>
      <c r="C6" s="6">
        <v>70000</v>
      </c>
      <c r="D6" s="3" t="s">
        <v>16</v>
      </c>
    </row>
    <row r="7" spans="1:4" x14ac:dyDescent="0.25">
      <c r="A7" s="11">
        <v>46224</v>
      </c>
      <c r="B7" s="3" t="s">
        <v>15</v>
      </c>
      <c r="C7" s="6">
        <v>70000</v>
      </c>
      <c r="D7" s="3" t="s">
        <v>16</v>
      </c>
    </row>
    <row r="8" spans="1:4" x14ac:dyDescent="0.25">
      <c r="A8" s="11">
        <v>46234</v>
      </c>
      <c r="B8" s="3" t="s">
        <v>15</v>
      </c>
      <c r="C8" s="6">
        <v>70000</v>
      </c>
      <c r="D8" s="3" t="s">
        <v>16</v>
      </c>
    </row>
    <row r="9" spans="1:4" x14ac:dyDescent="0.25">
      <c r="A9" s="11">
        <v>46208</v>
      </c>
      <c r="B9" s="3" t="s">
        <v>17</v>
      </c>
      <c r="C9" s="6">
        <v>21429</v>
      </c>
      <c r="D9" s="3" t="s">
        <v>43</v>
      </c>
    </row>
    <row r="10" spans="1:4" x14ac:dyDescent="0.25">
      <c r="A10" s="11">
        <v>46213</v>
      </c>
      <c r="B10" s="3" t="s">
        <v>18</v>
      </c>
      <c r="C10" s="6">
        <v>10000</v>
      </c>
      <c r="D10" s="3" t="s">
        <v>44</v>
      </c>
    </row>
    <row r="11" spans="1:4" x14ac:dyDescent="0.25">
      <c r="A11" s="11">
        <v>46204</v>
      </c>
      <c r="B11" s="3" t="s">
        <v>19</v>
      </c>
      <c r="C11" s="6">
        <v>150000</v>
      </c>
      <c r="D11" s="3"/>
    </row>
    <row r="12" spans="1:4" x14ac:dyDescent="0.25">
      <c r="A12" s="11">
        <v>46204</v>
      </c>
      <c r="B12" s="3" t="s">
        <v>20</v>
      </c>
      <c r="C12" s="6">
        <v>70000</v>
      </c>
      <c r="D12" s="3"/>
    </row>
    <row r="13" spans="1:4" x14ac:dyDescent="0.25">
      <c r="A13" s="11">
        <v>46234</v>
      </c>
      <c r="B13" s="8" t="s">
        <v>42</v>
      </c>
      <c r="C13" s="6">
        <v>186000</v>
      </c>
      <c r="D13" s="5"/>
    </row>
    <row r="14" spans="1:4" x14ac:dyDescent="0.25">
      <c r="B14" s="16" t="s">
        <v>45</v>
      </c>
      <c r="C14" s="15">
        <f>SUM(C5:C13)</f>
        <v>717429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showGridLines="0" tabSelected="1" workbookViewId="0">
      <pane ySplit="4" topLeftCell="A5" activePane="bottomLeft" state="frozen"/>
      <selection pane="bottomLeft" activeCell="D11" sqref="D11"/>
    </sheetView>
  </sheetViews>
  <sheetFormatPr baseColWidth="10" defaultColWidth="9.140625" defaultRowHeight="15" x14ac:dyDescent="0.25"/>
  <cols>
    <col min="1" max="1" width="24" customWidth="1"/>
    <col min="2" max="2" width="18" customWidth="1"/>
    <col min="3" max="3" width="16" customWidth="1"/>
    <col min="4" max="5" width="20" customWidth="1"/>
  </cols>
  <sheetData>
    <row r="1" spans="1:5" ht="26.1" customHeight="1" x14ac:dyDescent="0.25">
      <c r="A1" s="12" t="s">
        <v>21</v>
      </c>
      <c r="B1" s="13"/>
      <c r="C1" s="13"/>
      <c r="D1" s="13"/>
      <c r="E1" s="13"/>
    </row>
    <row r="2" spans="1:5" ht="15.95" customHeight="1" x14ac:dyDescent="0.25">
      <c r="A2" s="14" t="s">
        <v>22</v>
      </c>
      <c r="B2" s="13"/>
      <c r="C2" s="13"/>
      <c r="D2" s="13"/>
      <c r="E2" s="13"/>
    </row>
    <row r="3" spans="1:5" ht="3" customHeight="1" x14ac:dyDescent="0.25">
      <c r="A3" s="1"/>
      <c r="B3" s="1"/>
      <c r="C3" s="1"/>
      <c r="D3" s="1"/>
      <c r="E3" s="1"/>
    </row>
    <row r="4" spans="1:5" x14ac:dyDescent="0.25">
      <c r="A4" s="2" t="s">
        <v>23</v>
      </c>
      <c r="B4" s="2" t="s">
        <v>5</v>
      </c>
      <c r="C4" s="2" t="s">
        <v>24</v>
      </c>
      <c r="D4" s="2" t="s">
        <v>25</v>
      </c>
      <c r="E4" s="2" t="s">
        <v>26</v>
      </c>
    </row>
    <row r="5" spans="1:5" x14ac:dyDescent="0.25">
      <c r="A5" s="8" t="s">
        <v>32</v>
      </c>
      <c r="B5" s="4">
        <v>27</v>
      </c>
      <c r="C5" s="6">
        <f>600+10000</f>
        <v>10600</v>
      </c>
      <c r="D5" s="4">
        <v>105</v>
      </c>
      <c r="E5" s="6">
        <f>800+1500+1500+800</f>
        <v>4600</v>
      </c>
    </row>
    <row r="6" spans="1:5" x14ac:dyDescent="0.25">
      <c r="A6" s="8" t="s">
        <v>27</v>
      </c>
      <c r="B6" s="4">
        <v>109</v>
      </c>
      <c r="C6" s="9">
        <f>10250+6000</f>
        <v>16250</v>
      </c>
      <c r="D6" s="4">
        <f>90+90</f>
        <v>180</v>
      </c>
      <c r="E6" s="6">
        <f>800+1500+800+1500+800</f>
        <v>5400</v>
      </c>
    </row>
    <row r="7" spans="1:5" x14ac:dyDescent="0.25">
      <c r="A7" s="8" t="s">
        <v>41</v>
      </c>
      <c r="B7" s="4">
        <v>59</v>
      </c>
      <c r="C7" s="9">
        <f>10250+6000+6000</f>
        <v>22250</v>
      </c>
      <c r="D7" s="4">
        <f>60+30+60+30</f>
        <v>180</v>
      </c>
      <c r="E7" s="6">
        <f>800+1500+800+1500+800</f>
        <v>5400</v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 Diario</vt:lpstr>
      <vt:lpstr>Gastos Auto</vt:lpstr>
      <vt:lpstr>Auto vs Colectivo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Damian Morini</cp:lastModifiedBy>
  <dcterms:created xsi:type="dcterms:W3CDTF">2026-08-23T00:57:34Z</dcterms:created>
  <dcterms:modified xsi:type="dcterms:W3CDTF">2026-08-24T17:04:44Z</dcterms:modified>
</cp:coreProperties>
</file>